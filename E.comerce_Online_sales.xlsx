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ing\"/>
    </mc:Choice>
  </mc:AlternateContent>
  <xr:revisionPtr revIDLastSave="0" documentId="13_ncr:1_{E9A0345A-EC20-458D-BC32-E0C6B86AA100}" xr6:coauthVersionLast="47" xr6:coauthVersionMax="47" xr10:uidLastSave="{00000000-0000-0000-0000-000000000000}"/>
  <bookViews>
    <workbookView xWindow="-108" yWindow="-108" windowWidth="23256" windowHeight="12576" activeTab="1" xr2:uid="{1FE62666-75DB-4E8C-9F63-7A0DA3EEC47F}"/>
  </bookViews>
  <sheets>
    <sheet name="Raw Data" sheetId="1" r:id="rId1"/>
    <sheet name="Analysis" sheetId="2" r:id="rId2"/>
    <sheet name="Product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E3" i="3"/>
  <c r="E4" i="3"/>
  <c r="E5" i="3"/>
  <c r="E6" i="3"/>
  <c r="E7" i="3"/>
  <c r="E9" i="3"/>
  <c r="E10" i="3"/>
  <c r="E11" i="3"/>
  <c r="E2" i="3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  <c r="D40" i="2"/>
  <c r="C40" i="2"/>
  <c r="B35" i="2"/>
  <c r="B36" i="2"/>
  <c r="B37" i="2"/>
  <c r="B38" i="2"/>
  <c r="B39" i="2"/>
  <c r="B40" i="2"/>
  <c r="B41" i="2"/>
  <c r="B42" i="2"/>
  <c r="B43" i="2"/>
  <c r="B34" i="2"/>
  <c r="B28" i="2"/>
  <c r="B29" i="2"/>
  <c r="B27" i="2"/>
  <c r="B21" i="2"/>
  <c r="B22" i="2"/>
  <c r="B23" i="2"/>
  <c r="B20" i="2"/>
  <c r="D15" i="2"/>
  <c r="C15" i="2"/>
  <c r="B15" i="2"/>
  <c r="B4" i="2"/>
  <c r="B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L4" i="1"/>
  <c r="M4" i="1" s="1"/>
  <c r="L5" i="1"/>
  <c r="L6" i="1"/>
  <c r="M6" i="1" s="1"/>
  <c r="N6" i="1" s="1"/>
  <c r="L7" i="1"/>
  <c r="L8" i="1"/>
  <c r="M8" i="1" s="1"/>
  <c r="L9" i="1"/>
  <c r="L10" i="1"/>
  <c r="L11" i="1"/>
  <c r="M11" i="1" s="1"/>
  <c r="N11" i="1" s="1"/>
  <c r="L12" i="1"/>
  <c r="M12" i="1" s="1"/>
  <c r="L13" i="1"/>
  <c r="M13" i="1" s="1"/>
  <c r="L14" i="1"/>
  <c r="L15" i="1"/>
  <c r="L16" i="1"/>
  <c r="M16" i="1" s="1"/>
  <c r="L3" i="1"/>
  <c r="L2" i="1"/>
  <c r="M2" i="1" s="1"/>
  <c r="C16" i="2" l="1"/>
  <c r="C17" i="2"/>
  <c r="M14" i="1"/>
  <c r="N14" i="1" s="1"/>
  <c r="P14" i="1" s="1"/>
  <c r="M7" i="1"/>
  <c r="N7" i="1" s="1"/>
  <c r="M10" i="1"/>
  <c r="N10" i="1" s="1"/>
  <c r="M3" i="1"/>
  <c r="B5" i="2"/>
  <c r="M15" i="1"/>
  <c r="N15" i="1" s="1"/>
  <c r="P15" i="1" s="1"/>
  <c r="C43" i="2"/>
  <c r="P11" i="1"/>
  <c r="D43" i="2" s="1"/>
  <c r="N2" i="1"/>
  <c r="M9" i="1"/>
  <c r="N9" i="1" s="1"/>
  <c r="N16" i="1"/>
  <c r="P16" i="1" s="1"/>
  <c r="N8" i="1"/>
  <c r="P8" i="1" s="1"/>
  <c r="P6" i="1"/>
  <c r="C38" i="2"/>
  <c r="B8" i="2"/>
  <c r="N13" i="1"/>
  <c r="M5" i="1"/>
  <c r="N5" i="1" s="1"/>
  <c r="N12" i="1"/>
  <c r="P12" i="1" s="1"/>
  <c r="N4" i="1"/>
  <c r="B6" i="2" l="1"/>
  <c r="C39" i="2"/>
  <c r="P7" i="1"/>
  <c r="D39" i="2" s="1"/>
  <c r="C42" i="2"/>
  <c r="P10" i="1"/>
  <c r="D42" i="2" s="1"/>
  <c r="C23" i="2"/>
  <c r="N3" i="1"/>
  <c r="P3" i="1" s="1"/>
  <c r="D21" i="2" s="1"/>
  <c r="C37" i="2"/>
  <c r="P5" i="1"/>
  <c r="D37" i="2" s="1"/>
  <c r="C41" i="2"/>
  <c r="P9" i="1"/>
  <c r="D41" i="2" s="1"/>
  <c r="C22" i="2"/>
  <c r="C36" i="2"/>
  <c r="P4" i="1"/>
  <c r="B17" i="2"/>
  <c r="D35" i="2"/>
  <c r="P2" i="1"/>
  <c r="C34" i="2"/>
  <c r="C20" i="2"/>
  <c r="B16" i="2"/>
  <c r="C28" i="2"/>
  <c r="D38" i="2"/>
  <c r="C29" i="2"/>
  <c r="P13" i="1"/>
  <c r="D23" i="2" l="1"/>
  <c r="B7" i="2"/>
  <c r="B10" i="2"/>
  <c r="C27" i="2"/>
  <c r="C21" i="2"/>
  <c r="C35" i="2"/>
  <c r="D16" i="2"/>
  <c r="D20" i="2"/>
  <c r="D34" i="2"/>
  <c r="B11" i="2"/>
  <c r="B9" i="2"/>
  <c r="D36" i="2"/>
  <c r="D22" i="2"/>
  <c r="D17" i="2"/>
</calcChain>
</file>

<file path=xl/sharedStrings.xml><?xml version="1.0" encoding="utf-8"?>
<sst xmlns="http://schemas.openxmlformats.org/spreadsheetml/2006/main" count="181" uniqueCount="114">
  <si>
    <t>Order ID</t>
  </si>
  <si>
    <t>Customer Name</t>
  </si>
  <si>
    <t>Product</t>
  </si>
  <si>
    <t>Category</t>
  </si>
  <si>
    <t>City</t>
  </si>
  <si>
    <t>Payment Method</t>
  </si>
  <si>
    <t>ORD101</t>
  </si>
  <si>
    <t>Ali Khan</t>
  </si>
  <si>
    <t>Laptop</t>
  </si>
  <si>
    <t>Electronics</t>
  </si>
  <si>
    <t>Islamabad</t>
  </si>
  <si>
    <t>Card</t>
  </si>
  <si>
    <t>ORD102</t>
  </si>
  <si>
    <t>Ahmed Raza</t>
  </si>
  <si>
    <t>Mouse</t>
  </si>
  <si>
    <t>Accessories</t>
  </si>
  <si>
    <t>Rawalpindi</t>
  </si>
  <si>
    <t>Cash</t>
  </si>
  <si>
    <t>ORD103</t>
  </si>
  <si>
    <t>Sara Malik</t>
  </si>
  <si>
    <t>Keyboard</t>
  </si>
  <si>
    <t>Lahore</t>
  </si>
  <si>
    <t>JazzCash</t>
  </si>
  <si>
    <t>ORD104</t>
  </si>
  <si>
    <t>Hamza Ali</t>
  </si>
  <si>
    <t>Monitor</t>
  </si>
  <si>
    <t>ORD105</t>
  </si>
  <si>
    <t>Ayesha Noor</t>
  </si>
  <si>
    <t>Headphones</t>
  </si>
  <si>
    <t>Karachi</t>
  </si>
  <si>
    <t>Easypaisa</t>
  </si>
  <si>
    <t>ORD106</t>
  </si>
  <si>
    <t>Usman Tariq</t>
  </si>
  <si>
    <t>USB Cable</t>
  </si>
  <si>
    <t>ORD107</t>
  </si>
  <si>
    <t>Hira Ahmed</t>
  </si>
  <si>
    <t>Laptop Stand</t>
  </si>
  <si>
    <t>ORD108</t>
  </si>
  <si>
    <t>Bilal Shah</t>
  </si>
  <si>
    <t>Webcam</t>
  </si>
  <si>
    <t>ORD109</t>
  </si>
  <si>
    <t>Zain Abbas</t>
  </si>
  <si>
    <t>SSD 512GB</t>
  </si>
  <si>
    <t>Storage</t>
  </si>
  <si>
    <t>ORD110</t>
  </si>
  <si>
    <t>Maryam Khan</t>
  </si>
  <si>
    <t>Power Bank</t>
  </si>
  <si>
    <t>ORD111</t>
  </si>
  <si>
    <t>Saad Ahmed</t>
  </si>
  <si>
    <t>ORD112</t>
  </si>
  <si>
    <t>Fatima Ali</t>
  </si>
  <si>
    <t>ORD113</t>
  </si>
  <si>
    <t>Hassan Raza</t>
  </si>
  <si>
    <t>ORD114</t>
  </si>
  <si>
    <t>Noor Fatima</t>
  </si>
  <si>
    <t>ORD115</t>
  </si>
  <si>
    <t>Umar Khan</t>
  </si>
  <si>
    <t>13/09/2026</t>
  </si>
  <si>
    <t>14/09/2026</t>
  </si>
  <si>
    <t>15/09/2026</t>
  </si>
  <si>
    <t>Numbers</t>
  </si>
  <si>
    <t>Currency</t>
  </si>
  <si>
    <t>Date</t>
  </si>
  <si>
    <t>percentage %</t>
  </si>
  <si>
    <t>Currency2</t>
  </si>
  <si>
    <t>Gross Sales</t>
  </si>
  <si>
    <t>Discount amount</t>
  </si>
  <si>
    <t>Net Sales</t>
  </si>
  <si>
    <t>Total Cost</t>
  </si>
  <si>
    <t>Profit</t>
  </si>
  <si>
    <t>A</t>
  </si>
  <si>
    <t>B</t>
  </si>
  <si>
    <t>Metric</t>
  </si>
  <si>
    <t>Value</t>
  </si>
  <si>
    <t>Total Orders</t>
  </si>
  <si>
    <t>Total Units Sold</t>
  </si>
  <si>
    <t>Total Discount</t>
  </si>
  <si>
    <t>Total Profit</t>
  </si>
  <si>
    <t>Average Order Value</t>
  </si>
  <si>
    <t>Average Profit per Order</t>
  </si>
  <si>
    <t>C</t>
  </si>
  <si>
    <t>D</t>
  </si>
  <si>
    <t xml:space="preserve">         B              </t>
  </si>
  <si>
    <t>CITY</t>
  </si>
  <si>
    <t>ORDERS</t>
  </si>
  <si>
    <t>NET SALES</t>
  </si>
  <si>
    <t>PROFIT</t>
  </si>
  <si>
    <t>ISLAMABAD</t>
  </si>
  <si>
    <t>RAWALPINDI</t>
  </si>
  <si>
    <t>LAHORE</t>
  </si>
  <si>
    <t>KARACHI</t>
  </si>
  <si>
    <t>PAYMENT METHODS</t>
  </si>
  <si>
    <t>CASH</t>
  </si>
  <si>
    <t>CARD</t>
  </si>
  <si>
    <t>EASYPAISA</t>
  </si>
  <si>
    <r>
      <t xml:space="preserve">     </t>
    </r>
    <r>
      <rPr>
        <b/>
        <i/>
        <u/>
        <sz val="11"/>
        <color theme="1"/>
        <rFont val="Calibri"/>
        <family val="2"/>
        <scheme val="minor"/>
      </rPr>
      <t>OVERALL PERFOMANCE</t>
    </r>
  </si>
  <si>
    <t>CATEGORY ANALYSIS</t>
  </si>
  <si>
    <t>CITY ANALYSIS</t>
  </si>
  <si>
    <t>PAYMENT METHOD ANALYSIS</t>
  </si>
  <si>
    <t>PRODUCT</t>
  </si>
  <si>
    <t>UNIT SOLDS</t>
  </si>
  <si>
    <t>LAPTOP</t>
  </si>
  <si>
    <t>MOUSE</t>
  </si>
  <si>
    <t>KEYBOARD</t>
  </si>
  <si>
    <t>MONITOR</t>
  </si>
  <si>
    <t>HEADPHONES</t>
  </si>
  <si>
    <t>USB CABLE</t>
  </si>
  <si>
    <t>LAPTOP STANDS</t>
  </si>
  <si>
    <t>WEBCAM</t>
  </si>
  <si>
    <t>POWER BANK</t>
  </si>
  <si>
    <t>PRODUCT PERFOMANCE</t>
  </si>
  <si>
    <t>UNITS SOLDS</t>
  </si>
  <si>
    <t xml:space="preserve">NET SALES </t>
  </si>
  <si>
    <t>PROFIT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</si>
</sst>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/>
    <xf numFmtId="0" fontId="0" fillId="0" borderId="7" xfId="0" applyBorder="1"/>
    <xf numFmtId="0" fontId="0" fillId="0" borderId="6" xfId="0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9" fontId="0" fillId="0" borderId="9" xfId="0" applyNumberForma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1" fillId="0" borderId="8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1" fillId="0" borderId="2" xfId="0" applyFont="1" applyBorder="1"/>
    <xf numFmtId="0" fontId="3" fillId="0" borderId="0" xfId="0" applyFont="1"/>
    <xf numFmtId="0" fontId="0" fillId="2" borderId="4" xfId="0" applyFont="1" applyFill="1" applyBorder="1"/>
    <xf numFmtId="9" fontId="0" fillId="0" borderId="5" xfId="1" applyFont="1" applyBorder="1"/>
    <xf numFmtId="0" fontId="0" fillId="0" borderId="4" xfId="0" applyFont="1" applyBorder="1"/>
    <xf numFmtId="0" fontId="0" fillId="0" borderId="6" xfId="0" applyFont="1" applyBorder="1"/>
    <xf numFmtId="9" fontId="0" fillId="0" borderId="7" xfId="1" applyFont="1" applyBorder="1"/>
  </cellXfs>
  <cellStyles count="2">
    <cellStyle name="Normal" xfId="0" builtinId="0"/>
    <cellStyle name="Percent" xfId="1" builtinId="5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NET</a:t>
            </a:r>
            <a:r>
              <a:rPr lang="en-US" b="1" i="1" u="sng" baseline="0"/>
              <a:t> SALES BY CITY</a:t>
            </a:r>
            <a:endParaRPr lang="en-US" b="1" i="1" u="sng"/>
          </a:p>
        </c:rich>
      </c:tx>
      <c:layout>
        <c:manualLayout>
          <c:xMode val="edge"/>
          <c:yMode val="edge"/>
          <c:x val="0.342069335083114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Analysis!$B$19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Analysis!$A$20:$A$23</c:f>
              <c:strCache>
                <c:ptCount val="4"/>
                <c:pt idx="0">
                  <c:v>ISLAMABAD</c:v>
                </c:pt>
                <c:pt idx="1">
                  <c:v>RAWALPINDI</c:v>
                </c:pt>
                <c:pt idx="2">
                  <c:v>LAHORE</c:v>
                </c:pt>
                <c:pt idx="3">
                  <c:v>KARACHI</c:v>
                </c:pt>
              </c:strCache>
            </c:strRef>
          </c:cat>
          <c:val>
            <c:numRef>
              <c:f>Analysis!$B$20:$B$23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A-49F0-9AFF-5AC2BAFAF475}"/>
            </c:ext>
          </c:extLst>
        </c:ser>
        <c:ser>
          <c:idx val="1"/>
          <c:order val="1"/>
          <c:tx>
            <c:strRef>
              <c:f>Analysis!$C$19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Analysis!$A$20:$A$23</c:f>
              <c:strCache>
                <c:ptCount val="4"/>
                <c:pt idx="0">
                  <c:v>ISLAMABAD</c:v>
                </c:pt>
                <c:pt idx="1">
                  <c:v>RAWALPINDI</c:v>
                </c:pt>
                <c:pt idx="2">
                  <c:v>LAHORE</c:v>
                </c:pt>
                <c:pt idx="3">
                  <c:v>KARACHI</c:v>
                </c:pt>
              </c:strCache>
            </c:strRef>
          </c:cat>
          <c:val>
            <c:numRef>
              <c:f>Analysis!$C$20:$C$23</c:f>
              <c:numCache>
                <c:formatCode>General</c:formatCode>
                <c:ptCount val="4"/>
                <c:pt idx="0">
                  <c:v>229870</c:v>
                </c:pt>
                <c:pt idx="1">
                  <c:v>241350</c:v>
                </c:pt>
                <c:pt idx="2">
                  <c:v>71190</c:v>
                </c:pt>
                <c:pt idx="3">
                  <c:v>90050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A-49F0-9AFF-5AC2BAFAF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060575"/>
        <c:axId val="956973695"/>
      </c:barChart>
      <c:catAx>
        <c:axId val="111806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73695"/>
        <c:crosses val="autoZero"/>
        <c:auto val="1"/>
        <c:lblAlgn val="ctr"/>
        <c:lblOffset val="100"/>
        <c:noMultiLvlLbl val="0"/>
      </c:catAx>
      <c:valAx>
        <c:axId val="95697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6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 u="sng"/>
              <a:t>PROFIT</a:t>
            </a:r>
            <a:r>
              <a:rPr lang="en-US" i="1" u="sng" baseline="0"/>
              <a:t> BY CATEGORY</a:t>
            </a:r>
            <a:endParaRPr lang="en-US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60914260717411"/>
          <c:y val="0.17837962962962964"/>
          <c:w val="0.77272419072615928"/>
          <c:h val="0.6036880285797608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Analysis!$A$14:$A$17</c:f>
              <c:strCache>
                <c:ptCount val="4"/>
                <c:pt idx="0">
                  <c:v>Category</c:v>
                </c:pt>
                <c:pt idx="1">
                  <c:v>Electronics</c:v>
                </c:pt>
                <c:pt idx="2">
                  <c:v>Accessories</c:v>
                </c:pt>
                <c:pt idx="3">
                  <c:v>Storage</c:v>
                </c:pt>
              </c:strCache>
            </c:strRef>
          </c:cat>
          <c:val>
            <c:numRef>
              <c:f>Analysis!$B$14:$B$17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491820</c:v>
                </c:pt>
                <c:pt idx="3">
                  <c:v>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F-4FDE-8B01-ADFC904577B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Analysis!$A$14:$A$17</c:f>
              <c:strCache>
                <c:ptCount val="4"/>
                <c:pt idx="0">
                  <c:v>Category</c:v>
                </c:pt>
                <c:pt idx="1">
                  <c:v>Electronics</c:v>
                </c:pt>
                <c:pt idx="2">
                  <c:v>Accessories</c:v>
                </c:pt>
                <c:pt idx="3">
                  <c:v>Storage</c:v>
                </c:pt>
              </c:strCache>
            </c:strRef>
          </c:cat>
          <c:val>
            <c:numRef>
              <c:f>Analysis!$C$14:$C$17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432500</c:v>
                </c:pt>
                <c:pt idx="3">
                  <c:v>55300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F-4FDE-8B01-ADFC904577B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Analysis!$A$14:$A$17</c:f>
              <c:strCache>
                <c:ptCount val="4"/>
                <c:pt idx="0">
                  <c:v>Category</c:v>
                </c:pt>
                <c:pt idx="1">
                  <c:v>Electronics</c:v>
                </c:pt>
                <c:pt idx="2">
                  <c:v>Accessories</c:v>
                </c:pt>
                <c:pt idx="3">
                  <c:v>Storage</c:v>
                </c:pt>
              </c:strCache>
            </c:strRef>
          </c:cat>
          <c:val>
            <c:numRef>
              <c:f>Analysis!$D$14:$D$17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59320</c:v>
                </c:pt>
                <c:pt idx="3">
                  <c:v>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F-4FDE-8B01-ADFC90457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5741759"/>
        <c:axId val="956972255"/>
      </c:barChart>
      <c:catAx>
        <c:axId val="118574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72255"/>
        <c:crosses val="autoZero"/>
        <c:auto val="1"/>
        <c:lblAlgn val="ctr"/>
        <c:lblOffset val="100"/>
        <c:noMultiLvlLbl val="0"/>
      </c:catAx>
      <c:valAx>
        <c:axId val="95697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4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110490</xdr:rowOff>
    </xdr:from>
    <xdr:to>
      <xdr:col>16</xdr:col>
      <xdr:colOff>312420</xdr:colOff>
      <xdr:row>14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55D130-5D6D-3C78-1E88-C220E9676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548640</xdr:colOff>
      <xdr:row>14</xdr:row>
      <xdr:rowOff>323850</xdr:rowOff>
    </xdr:from>
    <xdr:to>
      <xdr:col>16</xdr:col>
      <xdr:colOff>243840</xdr:colOff>
      <xdr:row>28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F03972-484F-162E-03E2-069CED201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D3610-3C6D-4737-A9C6-753B3D057183}" name="Table1" displayName="Table1" ref="A1:P16" totalsRowShown="0" headerRowDxfId="48" dataDxfId="68" headerRowBorderDxfId="66" tableBorderDxfId="67" totalsRowBorderDxfId="65">
  <autoFilter ref="A1:P16" xr:uid="{957D3610-3C6D-4737-A9C6-753B3D057183}"/>
  <tableColumns count="16">
    <tableColumn id="1" xr3:uid="{6AEE09CB-AB97-4AB1-AC5C-E12183E87D59}" name="Order ID" dataDxfId="64"/>
    <tableColumn id="2" xr3:uid="{2F978F28-481F-4DD5-BEB1-973D1AA07F6B}" name="Customer Name" dataDxfId="63"/>
    <tableColumn id="3" xr3:uid="{8488F095-B837-4482-8324-B479C4EEB8D0}" name="Product" dataDxfId="62"/>
    <tableColumn id="4" xr3:uid="{D74284EC-C340-4451-B2CD-305C0E8AF6A5}" name="Category" dataDxfId="61"/>
    <tableColumn id="5" xr3:uid="{3647B6D9-AFC1-483F-AD1F-D9484E4B9CAD}" name="Numbers" dataDxfId="60"/>
    <tableColumn id="6" xr3:uid="{B756366B-1F60-4BF8-B78A-EDCA850F78C4}" name="Currency" dataDxfId="59"/>
    <tableColumn id="7" xr3:uid="{8A87B5E6-2827-4E4A-8943-421B67C90D2D}" name="Currency2" dataDxfId="58"/>
    <tableColumn id="8" xr3:uid="{BB883B53-5D08-4DF0-87DB-C47F5A18AE99}" name="percentage %" dataDxfId="57"/>
    <tableColumn id="9" xr3:uid="{C16BF928-2A34-44C0-9B9D-04A47DF67884}" name="City" dataDxfId="56"/>
    <tableColumn id="10" xr3:uid="{4D24D45B-2D6E-4B8A-9945-36BA5B263834}" name="Date" dataDxfId="55"/>
    <tableColumn id="11" xr3:uid="{455FADC9-1A69-4BF6-A629-D0DD4837F064}" name="Payment Method" dataDxfId="54"/>
    <tableColumn id="12" xr3:uid="{DB699F45-C81F-4106-AE80-AA659AAC7830}" name="Gross Sales" dataDxfId="53"/>
    <tableColumn id="13" xr3:uid="{1E247D1E-5E8B-46F0-B360-AF44E5F8E403}" name="Discount amount" dataDxfId="52">
      <calculatedColumnFormula>L2*H2</calculatedColumnFormula>
    </tableColumn>
    <tableColumn id="14" xr3:uid="{B36AFD94-57CC-47B9-B1C4-4CA6A3FF4322}" name="Net Sales" dataDxfId="51">
      <calculatedColumnFormula>L2-M2</calculatedColumnFormula>
    </tableColumn>
    <tableColumn id="15" xr3:uid="{2F898F69-8408-4EF9-AC5F-BBEDA044ABA6}" name="Total Cost" dataDxfId="50">
      <calculatedColumnFormula>E2*G2</calculatedColumnFormula>
    </tableColumn>
    <tableColumn id="16" xr3:uid="{6503EE8B-27D2-46B5-8E14-2A70EA8C5AF9}" name="Profit" dataDxfId="49">
      <calculatedColumnFormula>N2-O2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D7879-CD38-419B-8A2A-0B8297EBD3D4}" name="Table2" displayName="Table2" ref="A1:B11" totalsRowShown="0" headerRowDxfId="23" dataDxfId="22" headerRowBorderDxfId="20" tableBorderDxfId="21" totalsRowBorderDxfId="19">
  <autoFilter ref="A1:B11" xr:uid="{275D7879-CD38-419B-8A2A-0B8297EBD3D4}"/>
  <tableColumns count="2">
    <tableColumn id="1" xr3:uid="{56B896E6-EC55-4917-BCD3-0D76FDAF1F1F}" name="A" dataDxfId="18"/>
    <tableColumn id="2" xr3:uid="{1AEE7E78-99E1-4A96-BC7B-2F0499667038}" name="B" dataDxfId="17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26706-69B6-4B56-B655-CCB99D57C310}" name="Table3" displayName="Table3" ref="A13:D17" totalsRowShown="0" headerRowDxfId="39" dataDxfId="47" headerRowBorderDxfId="45" tableBorderDxfId="46" totalsRowBorderDxfId="44">
  <autoFilter ref="A13:D17" xr:uid="{FB426706-69B6-4B56-B655-CCB99D57C310}"/>
  <tableColumns count="4">
    <tableColumn id="1" xr3:uid="{62DBBB93-2B9A-4C44-9467-58843DCF88B5}" name="A" dataDxfId="43"/>
    <tableColumn id="2" xr3:uid="{A94A68DD-B8D3-4C4C-B95B-FC1EDB67DE45}" name="         B              " dataDxfId="42"/>
    <tableColumn id="3" xr3:uid="{F8DBB2D6-EC16-47B3-9F1D-3948A1FFC24C}" name="C" dataDxfId="41"/>
    <tableColumn id="4" xr3:uid="{849AF147-41B1-4B98-9274-BDEBDA9B6198}" name="D" dataDxfId="4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EAFBF-7171-474A-B093-F9245ADC5365}" name="Table4" displayName="Table4" ref="A19:D23" totalsRowShown="0" headerRowDxfId="31" headerRowBorderDxfId="37" tableBorderDxfId="38" totalsRowBorderDxfId="36">
  <autoFilter ref="A19:D23" xr:uid="{18CEAFBF-7171-474A-B093-F9245ADC5365}"/>
  <tableColumns count="4">
    <tableColumn id="1" xr3:uid="{AB97795F-B874-4F44-B8F3-8311B2AE955C}" name="CITY" dataDxfId="35"/>
    <tableColumn id="2" xr3:uid="{52D93175-34F4-4FF6-B60F-BAC925005AEA}" name="ORDERS" dataDxfId="34">
      <calculatedColumnFormula>COUNTIF('Raw Data'!I$2:I$16,A20)</calculatedColumnFormula>
    </tableColumn>
    <tableColumn id="3" xr3:uid="{500E3508-5A96-45F5-B9DA-24392C6234E2}" name="NET SALES" dataDxfId="33">
      <calculatedColumnFormula>SUMIF('Raw Data'!I$2:I$16,A20,'Raw Data'!N$2:N$16)</calculatedColumnFormula>
    </tableColumn>
    <tableColumn id="4" xr3:uid="{829EE475-9252-4499-B502-B1BDDE155A96}" name="PROFIT" dataDxfId="32">
      <calculatedColumnFormula>SUMIF('Raw Data'!I$2:I$16,A20,'Raw Data'!P$2:P$16)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0BD3E-E4DE-4719-86C9-B4CCB4AF8D66}" name="Table5" displayName="Table5" ref="A26:C29" totalsRowShown="0" headerRowDxfId="24" headerRowBorderDxfId="29" tableBorderDxfId="30" totalsRowBorderDxfId="28">
  <autoFilter ref="A26:C29" xr:uid="{4F20BD3E-E4DE-4719-86C9-B4CCB4AF8D66}"/>
  <tableColumns count="3">
    <tableColumn id="1" xr3:uid="{1596AFC6-F4E8-4D59-911E-FE80B3DE9156}" name="PAYMENT METHODS" dataDxfId="27"/>
    <tableColumn id="2" xr3:uid="{36C0A4BB-637B-47E4-9A48-D055507A72FD}" name="ORDERS" dataDxfId="26">
      <calculatedColumnFormula>COUNTIF('Raw Data'!K$2:K$16,A27)</calculatedColumnFormula>
    </tableColumn>
    <tableColumn id="3" xr3:uid="{B4DA35BA-5639-4218-89B9-4670107F0A65}" name="NET SALES" dataDxfId="25">
      <calculatedColumnFormula>SUMIF('Raw Data'!K$2:K$16,A27,'Raw Data'!N$2:N$16)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B51EB3-F19D-433B-8A0E-0ED574FFAAB6}" name="Table6" displayName="Table6" ref="A33:D43" totalsRowShown="0" headerRowDxfId="9" headerRowBorderDxfId="15" tableBorderDxfId="16" totalsRowBorderDxfId="14">
  <autoFilter ref="A33:D43" xr:uid="{4FB51EB3-F19D-433B-8A0E-0ED574FFAAB6}"/>
  <tableColumns count="4">
    <tableColumn id="1" xr3:uid="{547D5E64-C2BB-4CE0-9EBC-75FB2B5E9F57}" name="PRODUCT" dataDxfId="13"/>
    <tableColumn id="2" xr3:uid="{95F53C78-E7EF-4D9F-B86C-7D7E1908D8B4}" name="UNIT SOLDS" dataDxfId="12">
      <calculatedColumnFormula>SUMIF('Raw Data'!C$2:C$16,A34,'Raw Data'!E$2:E$16)</calculatedColumnFormula>
    </tableColumn>
    <tableColumn id="3" xr3:uid="{52098A65-251D-45A3-8907-FAE4356B0590}" name="NET SALES" dataDxfId="11">
      <calculatedColumnFormula>SUMIF('Raw Data'!C$2:C$16,A34,'Raw Data'!N$2:N$16)</calculatedColumnFormula>
    </tableColumn>
    <tableColumn id="4" xr3:uid="{D2CA5788-E225-48F0-AC5F-7D925ECDD799}" name="PROFIT" dataDxfId="10">
      <calculatedColumnFormula>SUMIF('Raw Data'!C$2:C$16,A34,'Raw Data'!P$2:P$16)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1CE418-F1F5-4404-B7C1-0BBCAEDB4011}" name="Table7" displayName="Table7" ref="A1:E11" totalsRowShown="0" headerRowDxfId="0" headerRowBorderDxfId="7" tableBorderDxfId="8" totalsRowBorderDxfId="6">
  <autoFilter ref="A1:E11" xr:uid="{141CE418-F1F5-4404-B7C1-0BBCAEDB4011}"/>
  <tableColumns count="5">
    <tableColumn id="1" xr3:uid="{A2E25CEC-CCB1-4288-AB2F-16B06583E073}" name="PRODUCT" dataDxfId="5"/>
    <tableColumn id="2" xr3:uid="{AD882658-B85E-457A-AFB2-3A1A6CC59E51}" name="UNITS SOLDS" dataDxfId="4">
      <calculatedColumnFormula>SUMIF('Raw Data'!C$2:C$16,A2,'Raw Data'!E$2:E$16)</calculatedColumnFormula>
    </tableColumn>
    <tableColumn id="3" xr3:uid="{FB76CAA8-0529-4D07-BE12-8FC7511DCF15}" name="NET SALES " dataDxfId="3">
      <calculatedColumnFormula>SUMIF('Raw Data'!C$2:C$16,A2,'Raw Data'!N$2:N$16)</calculatedColumnFormula>
    </tableColumn>
    <tableColumn id="4" xr3:uid="{32F7D026-5A9F-4D9D-AC22-A65B3F1BFF88}" name="PROFIT" dataDxfId="2">
      <calculatedColumnFormula>SUMIF('Raw Data'!C$2:C$16,A2,'Raw Data'!P$2:P$16)</calculatedColumnFormula>
    </tableColumn>
    <tableColumn id="5" xr3:uid="{F558EFE2-D54C-4A5A-9CC4-07850D4B53C3}" name="PROFIT MARGIN%" dataDxfId="1" dataCellStyle="Percent">
      <calculatedColumnFormula>D2/C2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8CF2-7556-43F0-9084-4D36D84E4F32}">
  <dimension ref="A1:P16"/>
  <sheetViews>
    <sheetView workbookViewId="0">
      <pane ySplit="1" topLeftCell="A2" activePane="bottomLeft" state="frozen"/>
      <selection pane="bottomLeft" activeCell="Q5" sqref="Q5"/>
    </sheetView>
  </sheetViews>
  <sheetFormatPr defaultRowHeight="14.4" x14ac:dyDescent="0.3"/>
  <cols>
    <col min="1" max="1" width="9.88671875" customWidth="1"/>
    <col min="2" max="2" width="16.44140625" customWidth="1"/>
    <col min="3" max="3" width="9.5546875" customWidth="1"/>
    <col min="4" max="4" width="10.44140625" customWidth="1"/>
    <col min="5" max="5" width="10.5546875" customWidth="1"/>
    <col min="6" max="6" width="10.44140625" customWidth="1"/>
    <col min="7" max="7" width="11.44140625" customWidth="1"/>
    <col min="8" max="8" width="14.21875" customWidth="1"/>
    <col min="10" max="10" width="9.5546875" bestFit="1" customWidth="1"/>
    <col min="11" max="11" width="17.6640625" customWidth="1"/>
  </cols>
  <sheetData>
    <row r="1" spans="1:16" ht="28.8" x14ac:dyDescent="0.3">
      <c r="A1" s="1" t="s">
        <v>0</v>
      </c>
      <c r="B1" s="10" t="s">
        <v>1</v>
      </c>
      <c r="C1" s="10" t="s">
        <v>2</v>
      </c>
      <c r="D1" s="10" t="s">
        <v>3</v>
      </c>
      <c r="E1" s="11" t="s">
        <v>60</v>
      </c>
      <c r="F1" s="11" t="s">
        <v>61</v>
      </c>
      <c r="G1" s="11" t="s">
        <v>64</v>
      </c>
      <c r="H1" s="11" t="s">
        <v>63</v>
      </c>
      <c r="I1" s="10" t="s">
        <v>4</v>
      </c>
      <c r="J1" s="10" t="s">
        <v>62</v>
      </c>
      <c r="K1" s="10" t="s">
        <v>5</v>
      </c>
      <c r="L1" s="10" t="s">
        <v>65</v>
      </c>
      <c r="M1" s="10" t="s">
        <v>66</v>
      </c>
      <c r="N1" s="10" t="s">
        <v>67</v>
      </c>
      <c r="O1" s="10" t="s">
        <v>68</v>
      </c>
      <c r="P1" s="2" t="s">
        <v>69</v>
      </c>
    </row>
    <row r="2" spans="1:16" ht="28.8" x14ac:dyDescent="0.3">
      <c r="A2" s="3" t="s">
        <v>6</v>
      </c>
      <c r="B2" s="12" t="s">
        <v>7</v>
      </c>
      <c r="C2" s="12" t="s">
        <v>8</v>
      </c>
      <c r="D2" s="12" t="s">
        <v>9</v>
      </c>
      <c r="E2" s="13">
        <v>1</v>
      </c>
      <c r="F2" s="13">
        <v>120000</v>
      </c>
      <c r="G2" s="13">
        <v>100000</v>
      </c>
      <c r="H2" s="14">
        <v>0.05</v>
      </c>
      <c r="I2" s="12" t="s">
        <v>10</v>
      </c>
      <c r="J2" s="15">
        <v>46031</v>
      </c>
      <c r="K2" s="12" t="s">
        <v>11</v>
      </c>
      <c r="L2" s="12">
        <f>E2*F2</f>
        <v>120000</v>
      </c>
      <c r="M2" s="12">
        <f>L2*H2</f>
        <v>6000</v>
      </c>
      <c r="N2" s="12">
        <f>L2-M2</f>
        <v>114000</v>
      </c>
      <c r="O2" s="12">
        <f>E2*G2</f>
        <v>100000</v>
      </c>
      <c r="P2" s="4">
        <f>N2-O2</f>
        <v>14000</v>
      </c>
    </row>
    <row r="3" spans="1:16" ht="28.8" x14ac:dyDescent="0.3">
      <c r="A3" s="3" t="s">
        <v>12</v>
      </c>
      <c r="B3" s="12" t="s">
        <v>13</v>
      </c>
      <c r="C3" s="12" t="s">
        <v>14</v>
      </c>
      <c r="D3" s="12" t="s">
        <v>15</v>
      </c>
      <c r="E3" s="13">
        <v>3</v>
      </c>
      <c r="F3" s="13">
        <v>2500</v>
      </c>
      <c r="G3" s="13">
        <v>1800</v>
      </c>
      <c r="H3" s="14">
        <v>0.1</v>
      </c>
      <c r="I3" s="12" t="s">
        <v>16</v>
      </c>
      <c r="J3" s="15">
        <v>46062</v>
      </c>
      <c r="K3" s="12" t="s">
        <v>17</v>
      </c>
      <c r="L3" s="12">
        <f>E3*F3</f>
        <v>7500</v>
      </c>
      <c r="M3" s="12">
        <f t="shared" ref="M3:M16" si="0">L3*H3</f>
        <v>750</v>
      </c>
      <c r="N3" s="12">
        <f t="shared" ref="N3:N16" si="1">L3-M3</f>
        <v>6750</v>
      </c>
      <c r="O3" s="12">
        <f t="shared" ref="O3:O16" si="2">E3*G3</f>
        <v>5400</v>
      </c>
      <c r="P3" s="4">
        <f t="shared" ref="P3:P16" si="3">N3-O3</f>
        <v>1350</v>
      </c>
    </row>
    <row r="4" spans="1:16" x14ac:dyDescent="0.3">
      <c r="A4" s="3" t="s">
        <v>18</v>
      </c>
      <c r="B4" s="12" t="s">
        <v>19</v>
      </c>
      <c r="C4" s="12" t="s">
        <v>20</v>
      </c>
      <c r="D4" s="12" t="s">
        <v>15</v>
      </c>
      <c r="E4" s="13">
        <v>2</v>
      </c>
      <c r="F4" s="13">
        <v>4500</v>
      </c>
      <c r="G4" s="13">
        <v>3000</v>
      </c>
      <c r="H4" s="14">
        <v>0.05</v>
      </c>
      <c r="I4" s="12" t="s">
        <v>21</v>
      </c>
      <c r="J4" s="15">
        <v>46090</v>
      </c>
      <c r="K4" s="12" t="s">
        <v>22</v>
      </c>
      <c r="L4" s="12">
        <f t="shared" ref="L4:L16" si="4">E4*F4</f>
        <v>9000</v>
      </c>
      <c r="M4" s="12">
        <f t="shared" si="0"/>
        <v>450</v>
      </c>
      <c r="N4" s="12">
        <f t="shared" si="1"/>
        <v>8550</v>
      </c>
      <c r="O4" s="12">
        <f t="shared" si="2"/>
        <v>6000</v>
      </c>
      <c r="P4" s="4">
        <f t="shared" si="3"/>
        <v>2550</v>
      </c>
    </row>
    <row r="5" spans="1:16" ht="28.8" x14ac:dyDescent="0.3">
      <c r="A5" s="3" t="s">
        <v>23</v>
      </c>
      <c r="B5" s="12" t="s">
        <v>24</v>
      </c>
      <c r="C5" s="12" t="s">
        <v>25</v>
      </c>
      <c r="D5" s="12" t="s">
        <v>9</v>
      </c>
      <c r="E5" s="13">
        <v>2</v>
      </c>
      <c r="F5" s="13">
        <v>45000</v>
      </c>
      <c r="G5" s="13">
        <v>36000</v>
      </c>
      <c r="H5" s="14">
        <v>0.08</v>
      </c>
      <c r="I5" s="12" t="s">
        <v>10</v>
      </c>
      <c r="J5" s="15">
        <v>46121</v>
      </c>
      <c r="K5" s="12" t="s">
        <v>11</v>
      </c>
      <c r="L5" s="12">
        <f t="shared" si="4"/>
        <v>90000</v>
      </c>
      <c r="M5" s="12">
        <f t="shared" si="0"/>
        <v>7200</v>
      </c>
      <c r="N5" s="12">
        <f t="shared" si="1"/>
        <v>82800</v>
      </c>
      <c r="O5" s="12">
        <f t="shared" si="2"/>
        <v>72000</v>
      </c>
      <c r="P5" s="4">
        <f t="shared" si="3"/>
        <v>10800</v>
      </c>
    </row>
    <row r="6" spans="1:16" ht="28.8" x14ac:dyDescent="0.3">
      <c r="A6" s="3" t="s">
        <v>26</v>
      </c>
      <c r="B6" s="12" t="s">
        <v>27</v>
      </c>
      <c r="C6" s="12" t="s">
        <v>28</v>
      </c>
      <c r="D6" s="12" t="s">
        <v>9</v>
      </c>
      <c r="E6" s="13">
        <v>3</v>
      </c>
      <c r="F6" s="13">
        <v>8500</v>
      </c>
      <c r="G6" s="13">
        <v>6000</v>
      </c>
      <c r="H6" s="14">
        <v>0.1</v>
      </c>
      <c r="I6" s="12" t="s">
        <v>29</v>
      </c>
      <c r="J6" s="15">
        <v>46151</v>
      </c>
      <c r="K6" s="12" t="s">
        <v>30</v>
      </c>
      <c r="L6" s="12">
        <f t="shared" si="4"/>
        <v>25500</v>
      </c>
      <c r="M6" s="12">
        <f t="shared" si="0"/>
        <v>2550</v>
      </c>
      <c r="N6" s="12">
        <f t="shared" si="1"/>
        <v>22950</v>
      </c>
      <c r="O6" s="12">
        <f t="shared" si="2"/>
        <v>18000</v>
      </c>
      <c r="P6" s="4">
        <f t="shared" si="3"/>
        <v>4950</v>
      </c>
    </row>
    <row r="7" spans="1:16" x14ac:dyDescent="0.3">
      <c r="A7" s="3" t="s">
        <v>31</v>
      </c>
      <c r="B7" s="12" t="s">
        <v>32</v>
      </c>
      <c r="C7" s="12" t="s">
        <v>33</v>
      </c>
      <c r="D7" s="12" t="s">
        <v>15</v>
      </c>
      <c r="E7" s="13">
        <v>5</v>
      </c>
      <c r="F7" s="13">
        <v>1200</v>
      </c>
      <c r="G7" s="13">
        <v>700</v>
      </c>
      <c r="H7" s="14">
        <v>0</v>
      </c>
      <c r="I7" s="12" t="s">
        <v>21</v>
      </c>
      <c r="J7" s="15">
        <v>46182</v>
      </c>
      <c r="K7" s="12" t="s">
        <v>17</v>
      </c>
      <c r="L7" s="12">
        <f t="shared" si="4"/>
        <v>6000</v>
      </c>
      <c r="M7" s="12">
        <f t="shared" si="0"/>
        <v>0</v>
      </c>
      <c r="N7" s="12">
        <f t="shared" si="1"/>
        <v>6000</v>
      </c>
      <c r="O7" s="12">
        <f t="shared" si="2"/>
        <v>3500</v>
      </c>
      <c r="P7" s="4">
        <f t="shared" si="3"/>
        <v>2500</v>
      </c>
    </row>
    <row r="8" spans="1:16" ht="28.8" x14ac:dyDescent="0.3">
      <c r="A8" s="3" t="s">
        <v>34</v>
      </c>
      <c r="B8" s="12" t="s">
        <v>35</v>
      </c>
      <c r="C8" s="12" t="s">
        <v>36</v>
      </c>
      <c r="D8" s="12" t="s">
        <v>15</v>
      </c>
      <c r="E8" s="13">
        <v>2</v>
      </c>
      <c r="F8" s="13">
        <v>6000</v>
      </c>
      <c r="G8" s="13">
        <v>4200</v>
      </c>
      <c r="H8" s="14">
        <v>0.05</v>
      </c>
      <c r="I8" s="12" t="s">
        <v>16</v>
      </c>
      <c r="J8" s="15">
        <v>46212</v>
      </c>
      <c r="K8" s="12" t="s">
        <v>11</v>
      </c>
      <c r="L8" s="12">
        <f t="shared" si="4"/>
        <v>12000</v>
      </c>
      <c r="M8" s="12">
        <f t="shared" si="0"/>
        <v>600</v>
      </c>
      <c r="N8" s="12">
        <f t="shared" si="1"/>
        <v>11400</v>
      </c>
      <c r="O8" s="12">
        <f t="shared" si="2"/>
        <v>8400</v>
      </c>
      <c r="P8" s="4">
        <f t="shared" si="3"/>
        <v>3000</v>
      </c>
    </row>
    <row r="9" spans="1:16" ht="28.8" x14ac:dyDescent="0.3">
      <c r="A9" s="3" t="s">
        <v>37</v>
      </c>
      <c r="B9" s="12" t="s">
        <v>38</v>
      </c>
      <c r="C9" s="12" t="s">
        <v>39</v>
      </c>
      <c r="D9" s="12" t="s">
        <v>9</v>
      </c>
      <c r="E9" s="13">
        <v>1</v>
      </c>
      <c r="F9" s="13">
        <v>9000</v>
      </c>
      <c r="G9" s="13">
        <v>6500</v>
      </c>
      <c r="H9" s="14">
        <v>7.0000000000000007E-2</v>
      </c>
      <c r="I9" s="12" t="s">
        <v>10</v>
      </c>
      <c r="J9" s="15">
        <v>46243</v>
      </c>
      <c r="K9" s="12" t="s">
        <v>22</v>
      </c>
      <c r="L9" s="12">
        <f t="shared" si="4"/>
        <v>9000</v>
      </c>
      <c r="M9" s="12">
        <f t="shared" si="0"/>
        <v>630.00000000000011</v>
      </c>
      <c r="N9" s="12">
        <f t="shared" si="1"/>
        <v>8370</v>
      </c>
      <c r="O9" s="12">
        <f t="shared" si="2"/>
        <v>6500</v>
      </c>
      <c r="P9" s="4">
        <f t="shared" si="3"/>
        <v>1870</v>
      </c>
    </row>
    <row r="10" spans="1:16" ht="28.8" x14ac:dyDescent="0.3">
      <c r="A10" s="3" t="s">
        <v>40</v>
      </c>
      <c r="B10" s="12" t="s">
        <v>41</v>
      </c>
      <c r="C10" s="12" t="s">
        <v>42</v>
      </c>
      <c r="D10" s="12" t="s">
        <v>43</v>
      </c>
      <c r="E10" s="13">
        <v>2</v>
      </c>
      <c r="F10" s="13">
        <v>14000</v>
      </c>
      <c r="G10" s="13">
        <v>11000</v>
      </c>
      <c r="H10" s="14">
        <v>0.05</v>
      </c>
      <c r="I10" s="12" t="s">
        <v>29</v>
      </c>
      <c r="J10" s="15">
        <v>46274</v>
      </c>
      <c r="K10" s="12" t="s">
        <v>11</v>
      </c>
      <c r="L10" s="12">
        <f t="shared" si="4"/>
        <v>28000</v>
      </c>
      <c r="M10" s="12">
        <f t="shared" si="0"/>
        <v>1400</v>
      </c>
      <c r="N10" s="12">
        <f t="shared" si="1"/>
        <v>26600</v>
      </c>
      <c r="O10" s="12">
        <f t="shared" si="2"/>
        <v>22000</v>
      </c>
      <c r="P10" s="4">
        <f t="shared" si="3"/>
        <v>4600</v>
      </c>
    </row>
    <row r="11" spans="1:16" ht="28.8" x14ac:dyDescent="0.3">
      <c r="A11" s="3" t="s">
        <v>44</v>
      </c>
      <c r="B11" s="12" t="s">
        <v>45</v>
      </c>
      <c r="C11" s="12" t="s">
        <v>46</v>
      </c>
      <c r="D11" s="12" t="s">
        <v>15</v>
      </c>
      <c r="E11" s="13">
        <v>4</v>
      </c>
      <c r="F11" s="13">
        <v>5000</v>
      </c>
      <c r="G11" s="13">
        <v>3500</v>
      </c>
      <c r="H11" s="14">
        <v>0.1</v>
      </c>
      <c r="I11" s="12" t="s">
        <v>21</v>
      </c>
      <c r="J11" s="15">
        <v>46304</v>
      </c>
      <c r="K11" s="12" t="s">
        <v>17</v>
      </c>
      <c r="L11" s="12">
        <f t="shared" si="4"/>
        <v>20000</v>
      </c>
      <c r="M11" s="12">
        <f t="shared" si="0"/>
        <v>2000</v>
      </c>
      <c r="N11" s="12">
        <f t="shared" si="1"/>
        <v>18000</v>
      </c>
      <c r="O11" s="12">
        <f t="shared" si="2"/>
        <v>14000</v>
      </c>
      <c r="P11" s="4">
        <f t="shared" si="3"/>
        <v>4000</v>
      </c>
    </row>
    <row r="12" spans="1:16" ht="28.8" x14ac:dyDescent="0.3">
      <c r="A12" s="3" t="s">
        <v>47</v>
      </c>
      <c r="B12" s="12" t="s">
        <v>48</v>
      </c>
      <c r="C12" s="12" t="s">
        <v>8</v>
      </c>
      <c r="D12" s="12" t="s">
        <v>9</v>
      </c>
      <c r="E12" s="13">
        <v>2</v>
      </c>
      <c r="F12" s="13">
        <v>120000</v>
      </c>
      <c r="G12" s="13">
        <v>100000</v>
      </c>
      <c r="H12" s="14">
        <v>7.0000000000000007E-2</v>
      </c>
      <c r="I12" s="12" t="s">
        <v>16</v>
      </c>
      <c r="J12" s="15">
        <v>46335</v>
      </c>
      <c r="K12" s="12" t="s">
        <v>11</v>
      </c>
      <c r="L12" s="12">
        <f t="shared" si="4"/>
        <v>240000</v>
      </c>
      <c r="M12" s="12">
        <f t="shared" si="0"/>
        <v>16800</v>
      </c>
      <c r="N12" s="12">
        <f t="shared" si="1"/>
        <v>223200</v>
      </c>
      <c r="O12" s="12">
        <f t="shared" si="2"/>
        <v>200000</v>
      </c>
      <c r="P12" s="4">
        <f t="shared" si="3"/>
        <v>23200</v>
      </c>
    </row>
    <row r="13" spans="1:16" ht="28.8" x14ac:dyDescent="0.3">
      <c r="A13" s="3" t="s">
        <v>49</v>
      </c>
      <c r="B13" s="12" t="s">
        <v>50</v>
      </c>
      <c r="C13" s="12" t="s">
        <v>20</v>
      </c>
      <c r="D13" s="12" t="s">
        <v>15</v>
      </c>
      <c r="E13" s="13">
        <v>3</v>
      </c>
      <c r="F13" s="13">
        <v>4500</v>
      </c>
      <c r="G13" s="13">
        <v>3000</v>
      </c>
      <c r="H13" s="14">
        <v>0.05</v>
      </c>
      <c r="I13" s="12" t="s">
        <v>10</v>
      </c>
      <c r="J13" s="15">
        <v>46365</v>
      </c>
      <c r="K13" s="12" t="s">
        <v>30</v>
      </c>
      <c r="L13" s="12">
        <f t="shared" si="4"/>
        <v>13500</v>
      </c>
      <c r="M13" s="12">
        <f t="shared" si="0"/>
        <v>675</v>
      </c>
      <c r="N13" s="12">
        <f t="shared" si="1"/>
        <v>12825</v>
      </c>
      <c r="O13" s="12">
        <f t="shared" si="2"/>
        <v>9000</v>
      </c>
      <c r="P13" s="4">
        <f t="shared" si="3"/>
        <v>3825</v>
      </c>
    </row>
    <row r="14" spans="1:16" ht="28.8" x14ac:dyDescent="0.3">
      <c r="A14" s="3" t="s">
        <v>51</v>
      </c>
      <c r="B14" s="12" t="s">
        <v>52</v>
      </c>
      <c r="C14" s="12" t="s">
        <v>25</v>
      </c>
      <c r="D14" s="12" t="s">
        <v>9</v>
      </c>
      <c r="E14" s="13">
        <v>1</v>
      </c>
      <c r="F14" s="13">
        <v>45000</v>
      </c>
      <c r="G14" s="13">
        <v>36000</v>
      </c>
      <c r="H14" s="14">
        <v>0.1</v>
      </c>
      <c r="I14" s="12" t="s">
        <v>29</v>
      </c>
      <c r="J14" s="12" t="s">
        <v>57</v>
      </c>
      <c r="K14" s="12" t="s">
        <v>11</v>
      </c>
      <c r="L14" s="12">
        <f t="shared" si="4"/>
        <v>45000</v>
      </c>
      <c r="M14" s="12">
        <f t="shared" si="0"/>
        <v>4500</v>
      </c>
      <c r="N14" s="12">
        <f t="shared" si="1"/>
        <v>40500</v>
      </c>
      <c r="O14" s="12">
        <f t="shared" si="2"/>
        <v>36000</v>
      </c>
      <c r="P14" s="4">
        <f t="shared" si="3"/>
        <v>4500</v>
      </c>
    </row>
    <row r="15" spans="1:16" ht="28.8" x14ac:dyDescent="0.3">
      <c r="A15" s="3" t="s">
        <v>53</v>
      </c>
      <c r="B15" s="12" t="s">
        <v>54</v>
      </c>
      <c r="C15" s="12" t="s">
        <v>42</v>
      </c>
      <c r="D15" s="12" t="s">
        <v>43</v>
      </c>
      <c r="E15" s="13">
        <v>3</v>
      </c>
      <c r="F15" s="13">
        <v>14000</v>
      </c>
      <c r="G15" s="13">
        <v>11000</v>
      </c>
      <c r="H15" s="14">
        <v>0.08</v>
      </c>
      <c r="I15" s="12" t="s">
        <v>21</v>
      </c>
      <c r="J15" s="12" t="s">
        <v>58</v>
      </c>
      <c r="K15" s="12" t="s">
        <v>22</v>
      </c>
      <c r="L15" s="12">
        <f t="shared" si="4"/>
        <v>42000</v>
      </c>
      <c r="M15" s="12">
        <f t="shared" si="0"/>
        <v>3360</v>
      </c>
      <c r="N15" s="12">
        <f t="shared" si="1"/>
        <v>38640</v>
      </c>
      <c r="O15" s="12">
        <f t="shared" si="2"/>
        <v>33000</v>
      </c>
      <c r="P15" s="4">
        <f t="shared" si="3"/>
        <v>5640</v>
      </c>
    </row>
    <row r="16" spans="1:16" ht="28.8" x14ac:dyDescent="0.3">
      <c r="A16" s="5" t="s">
        <v>55</v>
      </c>
      <c r="B16" s="16" t="s">
        <v>56</v>
      </c>
      <c r="C16" s="16" t="s">
        <v>14</v>
      </c>
      <c r="D16" s="16" t="s">
        <v>15</v>
      </c>
      <c r="E16" s="17">
        <v>5</v>
      </c>
      <c r="F16" s="17">
        <v>2500</v>
      </c>
      <c r="G16" s="17">
        <v>1800</v>
      </c>
      <c r="H16" s="18">
        <v>0.05</v>
      </c>
      <c r="I16" s="16" t="s">
        <v>10</v>
      </c>
      <c r="J16" s="16" t="s">
        <v>59</v>
      </c>
      <c r="K16" s="16" t="s">
        <v>17</v>
      </c>
      <c r="L16" s="16">
        <f t="shared" si="4"/>
        <v>12500</v>
      </c>
      <c r="M16" s="16">
        <f t="shared" si="0"/>
        <v>625</v>
      </c>
      <c r="N16" s="16">
        <f t="shared" si="1"/>
        <v>11875</v>
      </c>
      <c r="O16" s="16">
        <f t="shared" si="2"/>
        <v>9000</v>
      </c>
      <c r="P16" s="6">
        <f t="shared" si="3"/>
        <v>2875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57B-FB4A-469F-89FB-70B69CDD5DEC}">
  <dimension ref="A1:F43"/>
  <sheetViews>
    <sheetView tabSelected="1" workbookViewId="0">
      <selection activeCell="S15" sqref="S15"/>
    </sheetView>
  </sheetViews>
  <sheetFormatPr defaultRowHeight="14.4" x14ac:dyDescent="0.3"/>
  <cols>
    <col min="1" max="1" width="20.33203125" customWidth="1"/>
    <col min="2" max="2" width="13" customWidth="1"/>
    <col min="3" max="3" width="11.77734375" customWidth="1"/>
  </cols>
  <sheetData>
    <row r="1" spans="1:6" x14ac:dyDescent="0.3">
      <c r="A1" s="1" t="s">
        <v>70</v>
      </c>
      <c r="B1" s="2" t="s">
        <v>71</v>
      </c>
    </row>
    <row r="2" spans="1:6" x14ac:dyDescent="0.3">
      <c r="A2" s="3" t="s">
        <v>72</v>
      </c>
      <c r="B2" s="4" t="s">
        <v>73</v>
      </c>
      <c r="C2" t="s">
        <v>95</v>
      </c>
    </row>
    <row r="3" spans="1:6" x14ac:dyDescent="0.3">
      <c r="A3" s="3" t="s">
        <v>74</v>
      </c>
      <c r="B3" s="4">
        <f>COUNTA('Raw Data'!A2:A16)</f>
        <v>15</v>
      </c>
    </row>
    <row r="4" spans="1:6" x14ac:dyDescent="0.3">
      <c r="A4" s="3" t="s">
        <v>75</v>
      </c>
      <c r="B4" s="4">
        <f>SUM('Raw Data'!E2:E16)</f>
        <v>39</v>
      </c>
    </row>
    <row r="5" spans="1:6" x14ac:dyDescent="0.3">
      <c r="A5" s="3" t="s">
        <v>65</v>
      </c>
      <c r="B5" s="4">
        <f>SUM('Raw Data'!L2:L16)</f>
        <v>680000</v>
      </c>
    </row>
    <row r="6" spans="1:6" x14ac:dyDescent="0.3">
      <c r="A6" s="3" t="s">
        <v>76</v>
      </c>
      <c r="B6" s="4">
        <f>SUM('Raw Data'!M2:M16)</f>
        <v>47540</v>
      </c>
    </row>
    <row r="7" spans="1:6" x14ac:dyDescent="0.3">
      <c r="A7" s="3" t="s">
        <v>67</v>
      </c>
      <c r="B7" s="4">
        <f>SUM('Raw Data'!N2:N16)</f>
        <v>632460</v>
      </c>
    </row>
    <row r="8" spans="1:6" x14ac:dyDescent="0.3">
      <c r="A8" s="3" t="s">
        <v>68</v>
      </c>
      <c r="B8" s="4">
        <f>SUM('Raw Data'!O2:O16)</f>
        <v>542800</v>
      </c>
    </row>
    <row r="9" spans="1:6" x14ac:dyDescent="0.3">
      <c r="A9" s="3" t="s">
        <v>77</v>
      </c>
      <c r="B9" s="4">
        <f>SUM('Raw Data'!P2:P16)</f>
        <v>89660</v>
      </c>
    </row>
    <row r="10" spans="1:6" x14ac:dyDescent="0.3">
      <c r="A10" s="3" t="s">
        <v>78</v>
      </c>
      <c r="B10" s="4">
        <f>AVERAGE('Raw Data'!N2:N16)</f>
        <v>42164</v>
      </c>
    </row>
    <row r="11" spans="1:6" ht="28.8" x14ac:dyDescent="0.3">
      <c r="A11" s="5" t="s">
        <v>79</v>
      </c>
      <c r="B11" s="6">
        <f>AVERAGE('Raw Data'!P2:P16)</f>
        <v>5977.333333333333</v>
      </c>
    </row>
    <row r="13" spans="1:6" x14ac:dyDescent="0.3">
      <c r="A13" s="1" t="s">
        <v>70</v>
      </c>
      <c r="B13" s="11" t="s">
        <v>82</v>
      </c>
      <c r="C13" s="11" t="s">
        <v>80</v>
      </c>
      <c r="D13" s="19" t="s">
        <v>81</v>
      </c>
      <c r="F13" s="29" t="s">
        <v>96</v>
      </c>
    </row>
    <row r="14" spans="1:6" ht="28.8" x14ac:dyDescent="0.3">
      <c r="A14" s="3" t="s">
        <v>3</v>
      </c>
      <c r="B14" s="13" t="s">
        <v>67</v>
      </c>
      <c r="C14" s="13" t="s">
        <v>68</v>
      </c>
      <c r="D14" s="20" t="s">
        <v>69</v>
      </c>
    </row>
    <row r="15" spans="1:6" ht="28.8" x14ac:dyDescent="0.3">
      <c r="A15" s="3" t="s">
        <v>9</v>
      </c>
      <c r="B15" s="13">
        <f>SUMIF('Raw Data'!D$2:D$16,A14,'Raw Data'!N$2:N$16)</f>
        <v>0</v>
      </c>
      <c r="C15" s="13">
        <f>SUMIF('Raw Data'!D$2:D$16,A14,'Raw Data'!O$2:O$16)</f>
        <v>0</v>
      </c>
      <c r="D15" s="20">
        <f>SUMIF('Raw Data'!D$2:D$16,A14,'Raw Data'!P$2:P$16)</f>
        <v>0</v>
      </c>
    </row>
    <row r="16" spans="1:6" ht="28.8" x14ac:dyDescent="0.3">
      <c r="A16" s="3" t="s">
        <v>15</v>
      </c>
      <c r="B16" s="13">
        <f>SUMIF('Raw Data'!D$2:D$16,A15,'Raw Data'!N$2:N$16)</f>
        <v>491820</v>
      </c>
      <c r="C16" s="13">
        <f>SUMIF('Raw Data'!D$2:D$16,A15,'Raw Data'!O$2:O$16)</f>
        <v>432500</v>
      </c>
      <c r="D16" s="20">
        <f>SUMIF('Raw Data'!D$2:D$16,A15,'Raw Data'!P$2:P$16)</f>
        <v>59320</v>
      </c>
    </row>
    <row r="17" spans="1:6" x14ac:dyDescent="0.3">
      <c r="A17" s="5" t="s">
        <v>43</v>
      </c>
      <c r="B17" s="17">
        <f>SUMIF('Raw Data'!D$2:D$16,A16,'Raw Data'!N$2:N$16)</f>
        <v>75400</v>
      </c>
      <c r="C17" s="17">
        <f>SUMIF('Raw Data'!D$2:D$16,A16,'Raw Data'!O$2:O$16)</f>
        <v>55300</v>
      </c>
      <c r="D17" s="21">
        <f>SUMIF('Raw Data'!D$2:D$16,A16,'Raw Data'!P$2:P$16)</f>
        <v>20100</v>
      </c>
    </row>
    <row r="19" spans="1:6" x14ac:dyDescent="0.3">
      <c r="A19" s="22" t="s">
        <v>83</v>
      </c>
      <c r="B19" s="23" t="s">
        <v>84</v>
      </c>
      <c r="C19" s="23" t="s">
        <v>85</v>
      </c>
      <c r="D19" s="24" t="s">
        <v>86</v>
      </c>
      <c r="F19" s="29" t="s">
        <v>97</v>
      </c>
    </row>
    <row r="20" spans="1:6" x14ac:dyDescent="0.3">
      <c r="A20" s="25" t="s">
        <v>87</v>
      </c>
      <c r="B20" s="7">
        <f>COUNTIF('Raw Data'!I$2:I$16,A20)</f>
        <v>5</v>
      </c>
      <c r="C20" s="7">
        <f>SUMIF('Raw Data'!I$2:I$16,A20,'Raw Data'!N$2:N$16)</f>
        <v>229870</v>
      </c>
      <c r="D20" s="26">
        <f>SUMIF('Raw Data'!I$2:I$16,A20,'Raw Data'!P$2:P$16)</f>
        <v>33370</v>
      </c>
    </row>
    <row r="21" spans="1:6" x14ac:dyDescent="0.3">
      <c r="A21" s="25" t="s">
        <v>88</v>
      </c>
      <c r="B21" s="7">
        <f>COUNTIF('Raw Data'!I$2:I$16,A21)</f>
        <v>3</v>
      </c>
      <c r="C21" s="7">
        <f>SUMIF('Raw Data'!I$2:I$16,A21,'Raw Data'!N$2:N$16)</f>
        <v>241350</v>
      </c>
      <c r="D21" s="26">
        <f>SUMIF('Raw Data'!I$2:I$16,A21,'Raw Data'!P$2:P$16)</f>
        <v>27550</v>
      </c>
    </row>
    <row r="22" spans="1:6" x14ac:dyDescent="0.3">
      <c r="A22" s="25" t="s">
        <v>89</v>
      </c>
      <c r="B22" s="7">
        <f>COUNTIF('Raw Data'!I$2:I$16,A22)</f>
        <v>4</v>
      </c>
      <c r="C22" s="7">
        <f>SUMIF('Raw Data'!I$2:I$16,A22,'Raw Data'!N$2:N$16)</f>
        <v>71190</v>
      </c>
      <c r="D22" s="26">
        <f>SUMIF('Raw Data'!I$2:I$16,A22,'Raw Data'!P$2:P$16)</f>
        <v>14690</v>
      </c>
    </row>
    <row r="23" spans="1:6" x14ac:dyDescent="0.3">
      <c r="A23" s="9" t="s">
        <v>90</v>
      </c>
      <c r="B23" s="27">
        <f>COUNTIF('Raw Data'!I$2:I$16,A23)</f>
        <v>3</v>
      </c>
      <c r="C23" s="27">
        <f>SUMIF('Raw Data'!I$2:I$16,A23,'Raw Data'!N$2:N$16)</f>
        <v>90050</v>
      </c>
      <c r="D23" s="8">
        <f>SUMIF('Raw Data'!I$2:I$16,A23,'Raw Data'!P$2:P$16)</f>
        <v>14050</v>
      </c>
    </row>
    <row r="26" spans="1:6" x14ac:dyDescent="0.3">
      <c r="A26" s="28" t="s">
        <v>91</v>
      </c>
      <c r="B26" s="23" t="s">
        <v>84</v>
      </c>
      <c r="C26" s="24" t="s">
        <v>85</v>
      </c>
      <c r="E26" s="29" t="s">
        <v>98</v>
      </c>
    </row>
    <row r="27" spans="1:6" x14ac:dyDescent="0.3">
      <c r="A27" s="25" t="s">
        <v>92</v>
      </c>
      <c r="B27" s="7">
        <f>COUNTIF('Raw Data'!K$2:K$16,A27)</f>
        <v>4</v>
      </c>
      <c r="C27" s="26">
        <f>SUMIF('Raw Data'!K$2:K$16,A27,'Raw Data'!N$2:N$16)</f>
        <v>42625</v>
      </c>
    </row>
    <row r="28" spans="1:6" x14ac:dyDescent="0.3">
      <c r="A28" s="25" t="s">
        <v>93</v>
      </c>
      <c r="B28" s="7">
        <f>COUNTIF('Raw Data'!K$2:K$16,A28)</f>
        <v>6</v>
      </c>
      <c r="C28" s="26">
        <f>SUMIF('Raw Data'!K$2:K$16,A28,'Raw Data'!N$2:N$16)</f>
        <v>498500</v>
      </c>
    </row>
    <row r="29" spans="1:6" x14ac:dyDescent="0.3">
      <c r="A29" s="9" t="s">
        <v>94</v>
      </c>
      <c r="B29" s="27">
        <f>COUNTIF('Raw Data'!K$2:K$16,A29)</f>
        <v>2</v>
      </c>
      <c r="C29" s="8">
        <f>SUMIF('Raw Data'!K$2:K$16,A29,'Raw Data'!N$2:N$16)</f>
        <v>35775</v>
      </c>
    </row>
    <row r="33" spans="1:6" x14ac:dyDescent="0.3">
      <c r="A33" s="28" t="s">
        <v>99</v>
      </c>
      <c r="B33" s="23" t="s">
        <v>100</v>
      </c>
      <c r="C33" s="23" t="s">
        <v>85</v>
      </c>
      <c r="D33" s="24" t="s">
        <v>86</v>
      </c>
      <c r="F33" s="29" t="s">
        <v>110</v>
      </c>
    </row>
    <row r="34" spans="1:6" x14ac:dyDescent="0.3">
      <c r="A34" s="25" t="s">
        <v>101</v>
      </c>
      <c r="B34" s="7">
        <f>SUMIF('Raw Data'!C$2:C$16,A34,'Raw Data'!E$2:E$16)</f>
        <v>3</v>
      </c>
      <c r="C34" s="7">
        <f>SUMIF('Raw Data'!C$2:C$16,A34,'Raw Data'!N$2:N$16)</f>
        <v>337200</v>
      </c>
      <c r="D34" s="26">
        <f>SUMIF('Raw Data'!C$2:C$16,A34,'Raw Data'!P$2:P$16)</f>
        <v>37200</v>
      </c>
    </row>
    <row r="35" spans="1:6" x14ac:dyDescent="0.3">
      <c r="A35" s="25" t="s">
        <v>102</v>
      </c>
      <c r="B35" s="7">
        <f>SUMIF('Raw Data'!C$2:C$16,A35,'Raw Data'!E$2:E$16)</f>
        <v>8</v>
      </c>
      <c r="C35" s="7">
        <f>SUMIF('Raw Data'!C$2:C$16,A35,'Raw Data'!N$2:N$16)</f>
        <v>18625</v>
      </c>
      <c r="D35" s="26">
        <f>SUMIF('Raw Data'!C$2:C$16,A35,'Raw Data'!P$2:P$16)</f>
        <v>4225</v>
      </c>
    </row>
    <row r="36" spans="1:6" x14ac:dyDescent="0.3">
      <c r="A36" s="25" t="s">
        <v>103</v>
      </c>
      <c r="B36" s="7">
        <f>SUMIF('Raw Data'!C$2:C$16,A36,'Raw Data'!E$2:E$16)</f>
        <v>5</v>
      </c>
      <c r="C36" s="7">
        <f>SUMIF('Raw Data'!C$2:C$16,A36,'Raw Data'!N$2:N$16)</f>
        <v>21375</v>
      </c>
      <c r="D36" s="26">
        <f>SUMIF('Raw Data'!C$2:C$16,A36,'Raw Data'!P$2:P$16)</f>
        <v>6375</v>
      </c>
    </row>
    <row r="37" spans="1:6" x14ac:dyDescent="0.3">
      <c r="A37" s="25" t="s">
        <v>104</v>
      </c>
      <c r="B37" s="7">
        <f>SUMIF('Raw Data'!C$2:C$16,A37,'Raw Data'!E$2:E$16)</f>
        <v>3</v>
      </c>
      <c r="C37" s="7">
        <f>SUMIF('Raw Data'!C$2:C$16,A37,'Raw Data'!N$2:N$16)</f>
        <v>123300</v>
      </c>
      <c r="D37" s="26">
        <f>SUMIF('Raw Data'!C$2:C$16,A37,'Raw Data'!P$2:P$16)</f>
        <v>15300</v>
      </c>
    </row>
    <row r="38" spans="1:6" x14ac:dyDescent="0.3">
      <c r="A38" s="25" t="s">
        <v>105</v>
      </c>
      <c r="B38" s="7">
        <f>SUMIF('Raw Data'!C$2:C$16,A38,'Raw Data'!E$2:E$16)</f>
        <v>3</v>
      </c>
      <c r="C38" s="7">
        <f>SUMIF('Raw Data'!C$2:C$16,A38,'Raw Data'!N$2:N$16)</f>
        <v>22950</v>
      </c>
      <c r="D38" s="26">
        <f>SUMIF('Raw Data'!C$2:C$16,A38,'Raw Data'!P$2:P$16)</f>
        <v>4950</v>
      </c>
    </row>
    <row r="39" spans="1:6" x14ac:dyDescent="0.3">
      <c r="A39" s="25" t="s">
        <v>106</v>
      </c>
      <c r="B39" s="7">
        <f>SUMIF('Raw Data'!C$2:C$16,A39,'Raw Data'!E$2:E$16)</f>
        <v>5</v>
      </c>
      <c r="C39" s="7">
        <f>SUMIF('Raw Data'!C$2:C$16,A39,'Raw Data'!N$2:N$16)</f>
        <v>6000</v>
      </c>
      <c r="D39" s="26">
        <f>SUMIF('Raw Data'!C$2:C$16,A39,'Raw Data'!P$2:P$16)</f>
        <v>2500</v>
      </c>
    </row>
    <row r="40" spans="1:6" x14ac:dyDescent="0.3">
      <c r="A40" s="25" t="s">
        <v>107</v>
      </c>
      <c r="B40" s="7">
        <f>SUMIF('Raw Data'!C$2:C$16,A40,'Raw Data'!E$2:E$16)</f>
        <v>0</v>
      </c>
      <c r="C40" s="7">
        <f>SUMIF('Raw Data'!C$2:C$16,A40,'Raw Data'!N$2:N$16)</f>
        <v>0</v>
      </c>
      <c r="D40" s="26">
        <f>SUMIF('Raw Data'!C$2:C$16,A40,'Raw Data'!P$2:P$16)</f>
        <v>0</v>
      </c>
    </row>
    <row r="41" spans="1:6" x14ac:dyDescent="0.3">
      <c r="A41" s="25" t="s">
        <v>108</v>
      </c>
      <c r="B41" s="7">
        <f>SUMIF('Raw Data'!C$2:C$16,A41,'Raw Data'!E$2:E$16)</f>
        <v>1</v>
      </c>
      <c r="C41" s="7">
        <f>SUMIF('Raw Data'!C$2:C$16,A41,'Raw Data'!N$2:N$16)</f>
        <v>8370</v>
      </c>
      <c r="D41" s="26">
        <f>SUMIF('Raw Data'!C$2:C$16,A41,'Raw Data'!P$2:P$16)</f>
        <v>1870</v>
      </c>
    </row>
    <row r="42" spans="1:6" x14ac:dyDescent="0.3">
      <c r="A42" s="25" t="s">
        <v>42</v>
      </c>
      <c r="B42" s="7">
        <f>SUMIF('Raw Data'!C$2:C$16,A42,'Raw Data'!E$2:E$16)</f>
        <v>5</v>
      </c>
      <c r="C42" s="7">
        <f>SUMIF('Raw Data'!C$2:C$16,A42,'Raw Data'!N$2:N$16)</f>
        <v>65240</v>
      </c>
      <c r="D42" s="26">
        <f>SUMIF('Raw Data'!C$2:C$16,A42,'Raw Data'!P$2:P$16)</f>
        <v>10240</v>
      </c>
    </row>
    <row r="43" spans="1:6" x14ac:dyDescent="0.3">
      <c r="A43" s="9" t="s">
        <v>109</v>
      </c>
      <c r="B43" s="27">
        <f>SUMIF('Raw Data'!C$2:C$16,A43,'Raw Data'!E$2:E$16)</f>
        <v>4</v>
      </c>
      <c r="C43" s="27">
        <f>SUMIF('Raw Data'!C$2:C$16,A43,'Raw Data'!N$2:N$16)</f>
        <v>18000</v>
      </c>
      <c r="D43" s="8">
        <f>SUMIF('Raw Data'!C$2:C$16,A43,'Raw Data'!P$2:P$16)</f>
        <v>4000</v>
      </c>
    </row>
  </sheetData>
  <conditionalFormatting sqref="D34:D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C4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{EF65ADAC-EAEA-451A-8A97-1356794235D0}</x14:id>
        </ext>
      </extLst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5ADAC-EAEA-451A-8A97-1356794235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C34:C43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EEF5-2FF4-47A0-B4E6-3B54BB873FC6}">
  <dimension ref="A1:E11"/>
  <sheetViews>
    <sheetView workbookViewId="0">
      <selection activeCell="F6" sqref="F6"/>
    </sheetView>
  </sheetViews>
  <sheetFormatPr defaultRowHeight="14.4" x14ac:dyDescent="0.3"/>
  <cols>
    <col min="1" max="1" width="11.109375" customWidth="1"/>
    <col min="2" max="2" width="14" customWidth="1"/>
    <col min="3" max="3" width="12.21875" customWidth="1"/>
    <col min="5" max="5" width="18" customWidth="1"/>
    <col min="6" max="6" width="10.44140625" customWidth="1"/>
  </cols>
  <sheetData>
    <row r="1" spans="1:5" x14ac:dyDescent="0.3">
      <c r="A1" s="28" t="s">
        <v>99</v>
      </c>
      <c r="B1" s="23" t="s">
        <v>111</v>
      </c>
      <c r="C1" s="23" t="s">
        <v>112</v>
      </c>
      <c r="D1" s="23" t="s">
        <v>86</v>
      </c>
      <c r="E1" s="24" t="s">
        <v>113</v>
      </c>
    </row>
    <row r="2" spans="1:5" x14ac:dyDescent="0.3">
      <c r="A2" s="30" t="s">
        <v>101</v>
      </c>
      <c r="B2" s="7">
        <f>SUMIF('Raw Data'!C$2:C$16,A2,'Raw Data'!E$2:E$16)</f>
        <v>3</v>
      </c>
      <c r="C2" s="7">
        <f>SUMIF('Raw Data'!C$2:C$16,A2,'Raw Data'!N$2:N$16)</f>
        <v>337200</v>
      </c>
      <c r="D2" s="7">
        <f>SUMIF('Raw Data'!C$2:C$16,A2,'Raw Data'!P$2:P$16)</f>
        <v>37200</v>
      </c>
      <c r="E2" s="31">
        <f>D2/C2</f>
        <v>0.1103202846975089</v>
      </c>
    </row>
    <row r="3" spans="1:5" x14ac:dyDescent="0.3">
      <c r="A3" s="32" t="s">
        <v>102</v>
      </c>
      <c r="B3" s="7">
        <f>SUMIF('Raw Data'!C$2:C$16,A3,'Raw Data'!E$2:E$16)</f>
        <v>8</v>
      </c>
      <c r="C3" s="7">
        <f>SUMIF('Raw Data'!C$2:C$16,A3,'Raw Data'!N$2:N$16)</f>
        <v>18625</v>
      </c>
      <c r="D3" s="7">
        <f>SUMIF('Raw Data'!C$2:C$16,A3,'Raw Data'!P$2:P$16)</f>
        <v>4225</v>
      </c>
      <c r="E3" s="31">
        <f t="shared" ref="E3:E11" si="0">D3/C3</f>
        <v>0.22684563758389262</v>
      </c>
    </row>
    <row r="4" spans="1:5" x14ac:dyDescent="0.3">
      <c r="A4" s="30" t="s">
        <v>103</v>
      </c>
      <c r="B4" s="7">
        <f>SUMIF('Raw Data'!C$2:C$16,A4,'Raw Data'!E$2:E$16)</f>
        <v>5</v>
      </c>
      <c r="C4" s="7">
        <f>SUMIF('Raw Data'!C$2:C$16,A4,'Raw Data'!N$2:N$16)</f>
        <v>21375</v>
      </c>
      <c r="D4" s="7">
        <f>SUMIF('Raw Data'!C$2:C$16,A4,'Raw Data'!P$2:P$16)</f>
        <v>6375</v>
      </c>
      <c r="E4" s="31">
        <f t="shared" si="0"/>
        <v>0.2982456140350877</v>
      </c>
    </row>
    <row r="5" spans="1:5" x14ac:dyDescent="0.3">
      <c r="A5" s="32" t="s">
        <v>104</v>
      </c>
      <c r="B5" s="7">
        <f>SUMIF('Raw Data'!C$2:C$16,A5,'Raw Data'!E$2:E$16)</f>
        <v>3</v>
      </c>
      <c r="C5" s="7">
        <f>SUMIF('Raw Data'!C$2:C$16,A5,'Raw Data'!N$2:N$16)</f>
        <v>123300</v>
      </c>
      <c r="D5" s="7">
        <f>SUMIF('Raw Data'!C$2:C$16,A5,'Raw Data'!P$2:P$16)</f>
        <v>15300</v>
      </c>
      <c r="E5" s="31">
        <f t="shared" si="0"/>
        <v>0.12408759124087591</v>
      </c>
    </row>
    <row r="6" spans="1:5" x14ac:dyDescent="0.3">
      <c r="A6" s="30" t="s">
        <v>105</v>
      </c>
      <c r="B6" s="7">
        <f>SUMIF('Raw Data'!C$2:C$16,A6,'Raw Data'!E$2:E$16)</f>
        <v>3</v>
      </c>
      <c r="C6" s="7">
        <f>SUMIF('Raw Data'!C$2:C$16,A6,'Raw Data'!N$2:N$16)</f>
        <v>22950</v>
      </c>
      <c r="D6" s="7">
        <f>SUMIF('Raw Data'!C$2:C$16,A6,'Raw Data'!P$2:P$16)</f>
        <v>4950</v>
      </c>
      <c r="E6" s="31">
        <f t="shared" si="0"/>
        <v>0.21568627450980393</v>
      </c>
    </row>
    <row r="7" spans="1:5" x14ac:dyDescent="0.3">
      <c r="A7" s="32" t="s">
        <v>106</v>
      </c>
      <c r="B7" s="7">
        <f>SUMIF('Raw Data'!C$2:C$16,A7,'Raw Data'!E$2:E$16)</f>
        <v>5</v>
      </c>
      <c r="C7" s="7">
        <f>SUMIF('Raw Data'!C$2:C$16,A7,'Raw Data'!N$2:N$16)</f>
        <v>6000</v>
      </c>
      <c r="D7" s="7">
        <f>SUMIF('Raw Data'!C$2:C$16,A7,'Raw Data'!P$2:P$16)</f>
        <v>2500</v>
      </c>
      <c r="E7" s="31">
        <f t="shared" si="0"/>
        <v>0.41666666666666669</v>
      </c>
    </row>
    <row r="8" spans="1:5" x14ac:dyDescent="0.3">
      <c r="A8" s="30" t="s">
        <v>107</v>
      </c>
      <c r="B8" s="7">
        <f>SUMIF('Raw Data'!C$2:C$16,A8,'Raw Data'!E$2:E$16)</f>
        <v>0</v>
      </c>
      <c r="C8" s="7">
        <f>SUMIF('Raw Data'!C$2:C$16,A8,'Raw Data'!N$2:N$16)</f>
        <v>0</v>
      </c>
      <c r="D8" s="7">
        <f>SUMIF('Raw Data'!C$2:C$16,A8,'Raw Data'!P$2:P$16)</f>
        <v>0</v>
      </c>
      <c r="E8" s="31" t="e">
        <f>D8/C8</f>
        <v>#DIV/0!</v>
      </c>
    </row>
    <row r="9" spans="1:5" x14ac:dyDescent="0.3">
      <c r="A9" s="32" t="s">
        <v>108</v>
      </c>
      <c r="B9" s="7">
        <f>SUMIF('Raw Data'!C$2:C$16,A9,'Raw Data'!E$2:E$16)</f>
        <v>1</v>
      </c>
      <c r="C9" s="7">
        <f>SUMIF('Raw Data'!C$2:C$16,A9,'Raw Data'!N$2:N$16)</f>
        <v>8370</v>
      </c>
      <c r="D9" s="7">
        <f>SUMIF('Raw Data'!C$2:C$16,A9,'Raw Data'!P$2:P$16)</f>
        <v>1870</v>
      </c>
      <c r="E9" s="31">
        <f t="shared" si="0"/>
        <v>0.22341696535244923</v>
      </c>
    </row>
    <row r="10" spans="1:5" x14ac:dyDescent="0.3">
      <c r="A10" s="30" t="s">
        <v>42</v>
      </c>
      <c r="B10" s="7">
        <f>SUMIF('Raw Data'!C$2:C$16,A10,'Raw Data'!E$2:E$16)</f>
        <v>5</v>
      </c>
      <c r="C10" s="7">
        <f>SUMIF('Raw Data'!C$2:C$16,A10,'Raw Data'!N$2:N$16)</f>
        <v>65240</v>
      </c>
      <c r="D10" s="7">
        <f>SUMIF('Raw Data'!C$2:C$16,A10,'Raw Data'!P$2:P$16)</f>
        <v>10240</v>
      </c>
      <c r="E10" s="31">
        <f t="shared" si="0"/>
        <v>0.15695892090741875</v>
      </c>
    </row>
    <row r="11" spans="1:5" x14ac:dyDescent="0.3">
      <c r="A11" s="33" t="s">
        <v>109</v>
      </c>
      <c r="B11" s="27">
        <f>SUMIF('Raw Data'!C$2:C$16,A11,'Raw Data'!E$2:E$16)</f>
        <v>4</v>
      </c>
      <c r="C11" s="27">
        <f>SUMIF('Raw Data'!C$2:C$16,A11,'Raw Data'!N$2:N$16)</f>
        <v>18000</v>
      </c>
      <c r="D11" s="27">
        <f>SUMIF('Raw Data'!C$2:C$16,A11,'Raw Data'!P$2:P$16)</f>
        <v>4000</v>
      </c>
      <c r="E11" s="34">
        <f t="shared" si="0"/>
        <v>0.22222222222222221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Product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xami khookhar</dc:creator>
  <cp:lastModifiedBy>xami khookhar</cp:lastModifiedBy>
  <dcterms:created xsi:type="dcterms:W3CDTF">2026-09-19T14:07:48Z</dcterms:created>
  <dcterms:modified xsi:type="dcterms:W3CDTF">2026-09-20T10:58:30Z</dcterms:modified>
</cp:coreProperties>
</file>